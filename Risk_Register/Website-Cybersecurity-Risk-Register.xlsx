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B\INTERVIEW PREP\sweet_sin\"/>
    </mc:Choice>
  </mc:AlternateContent>
  <xr:revisionPtr revIDLastSave="0" documentId="13_ncr:1_{23BE8BAF-3485-4B12-8432-C7F0C9940B44}" xr6:coauthVersionLast="47" xr6:coauthVersionMax="47" xr10:uidLastSave="{00000000-0000-0000-0000-000000000000}"/>
  <bookViews>
    <workbookView xWindow="1848" yWindow="1848" windowWidth="17280" windowHeight="9420" activeTab="1" xr2:uid="{00000000-000D-0000-FFFF-FFFF00000000}"/>
  </bookViews>
  <sheets>
    <sheet name="Executive Summary" sheetId="1" r:id="rId1"/>
    <sheet name="Risk Register" sheetId="2" r:id="rId2"/>
    <sheet name="Scoring Guide" sheetId="3" r:id="rId3"/>
    <sheet name="Asset Inventory" sheetId="4" r:id="rId4"/>
  </sheets>
  <definedNames>
    <definedName name="_xlnm._FilterDatabase" localSheetId="3" hidden="1">'Asset Inventory'!$A$1:$E$9</definedName>
    <definedName name="_xlnm._FilterDatabase" localSheetId="1" hidden="1">'Risk Register'!$A$1:$U$11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P11" i="2" s="1"/>
  <c r="I11" i="2"/>
  <c r="J11" i="2" s="1"/>
  <c r="O10" i="2"/>
  <c r="P10" i="2" s="1"/>
  <c r="I10" i="2"/>
  <c r="J10" i="2" s="1"/>
  <c r="O9" i="2"/>
  <c r="P9" i="2" s="1"/>
  <c r="I9" i="2"/>
  <c r="J9" i="2" s="1"/>
  <c r="O8" i="2"/>
  <c r="P8" i="2" s="1"/>
  <c r="I8" i="2"/>
  <c r="J8" i="2" s="1"/>
  <c r="O7" i="2"/>
  <c r="P7" i="2" s="1"/>
  <c r="I7" i="2"/>
  <c r="J7" i="2" s="1"/>
  <c r="O6" i="2"/>
  <c r="P6" i="2" s="1"/>
  <c r="I6" i="2"/>
  <c r="J6" i="2" s="1"/>
  <c r="O5" i="2"/>
  <c r="P5" i="2" s="1"/>
  <c r="I5" i="2"/>
  <c r="J5" i="2" s="1"/>
  <c r="O4" i="2"/>
  <c r="P4" i="2" s="1"/>
  <c r="I4" i="2"/>
  <c r="J4" i="2" s="1"/>
  <c r="O3" i="2"/>
  <c r="P3" i="2" s="1"/>
  <c r="I3" i="2"/>
  <c r="J3" i="2" s="1"/>
  <c r="O2" i="2"/>
  <c r="P2" i="2" s="1"/>
  <c r="I2" i="2"/>
  <c r="J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Formula: Likelihood × Impact. Bands are defined in the Scoring Guide sheet.</t>
        </r>
      </text>
    </comment>
    <comment ref="M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Estimated post-treatment likelihood. Adjust only with a reasoned rationale and evidence.</t>
        </r>
      </text>
    </comment>
    <comment ref="O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Estimated residual score after proposed treatment; not verified unless controls are implemented and tested.</t>
        </r>
      </text>
    </comment>
  </commentList>
</comments>
</file>

<file path=xl/sharedStrings.xml><?xml version="1.0" encoding="utf-8"?>
<sst xmlns="http://schemas.openxmlformats.org/spreadsheetml/2006/main" count="278" uniqueCount="255">
  <si>
    <t>Website Cybersecurity Risk Assessment</t>
  </si>
  <si>
    <t>Organisation</t>
  </si>
  <si>
    <t>ABC Online Services (example scenario)</t>
  </si>
  <si>
    <t>Assessment basis</t>
  </si>
  <si>
    <t>Assumption-based; no live system testing performed</t>
  </si>
  <si>
    <t>Purpose</t>
  </si>
  <si>
    <t>Identify and prioritise ten potential cybersecurity risks for a representative customer-facing website, and recommend proportionate treatments.</t>
  </si>
  <si>
    <t>Preliminary candidate risks</t>
  </si>
  <si>
    <t>10</t>
  </si>
  <si>
    <t>Scoring method</t>
  </si>
  <si>
    <t>Likelihood (1-5) × Impact (1-5)</t>
  </si>
  <si>
    <t>Risk bands</t>
  </si>
  <si>
    <t>Low 1-4; Medium 5-9; High 10-16; Critical 17-25</t>
  </si>
  <si>
    <t>Important limitation</t>
  </si>
  <si>
    <t>Risk scores and residual estimates are illustrative planning judgements based on stated assumptions. They are not verified findings or measured probabilities. Validate them if system-specific evidence becomes available.</t>
  </si>
  <si>
    <t>Next steps</t>
  </si>
  <si>
    <t>Review assumptions; validate scoring rationale; refine risk owners and treatments; link the completed report and supporting evidence.</t>
  </si>
  <si>
    <t>Scoring and priority</t>
  </si>
  <si>
    <t>Each risk includes qualitative likelihood/impact rationale and a proposed treatment priority.</t>
  </si>
  <si>
    <t>Risk ID</t>
  </si>
  <si>
    <t>Asset</t>
  </si>
  <si>
    <t>Risk Category</t>
  </si>
  <si>
    <t>Threat Event</t>
  </si>
  <si>
    <t>Weakness / Exposure</t>
  </si>
  <si>
    <t>Existing Controls / Assumptions</t>
  </si>
  <si>
    <t>Likelihood (1-5)</t>
  </si>
  <si>
    <t>Impact (1-5)</t>
  </si>
  <si>
    <t>Inherent Score</t>
  </si>
  <si>
    <t>Inherent Level</t>
  </si>
  <si>
    <t>Recommended Treatment</t>
  </si>
  <si>
    <t>Proposed Owner</t>
  </si>
  <si>
    <t>Residual Likelihood (estimate)</t>
  </si>
  <si>
    <t>Residual Impact (estimate)</t>
  </si>
  <si>
    <t>Residual Score (estimate)</t>
  </si>
  <si>
    <t>Residual Level (estimate)</t>
  </si>
  <si>
    <t>Treatment Status</t>
  </si>
  <si>
    <t>Rationale / Notes</t>
  </si>
  <si>
    <t>Likelihood Rationale</t>
  </si>
  <si>
    <t>Impact Rationale</t>
  </si>
  <si>
    <t>Treatment Priority</t>
  </si>
  <si>
    <t>R01</t>
  </si>
  <si>
    <t>Website application and database</t>
  </si>
  <si>
    <t>Injection</t>
  </si>
  <si>
    <t>An attacker submits crafted input that causes a database query or interpreter operation to behave unexpectedly.</t>
  </si>
  <si>
    <t>Input handling or query construction may not safely separate data from commands.</t>
  </si>
  <si>
    <t>Assumption: no evidence of current query protections has been supplied. Record as 'unknown/unverified', not as a confirmed absence of controls.</t>
  </si>
  <si>
    <t>Use parameterised queries and safe APIs; validate inputs; review code; perform authorised security testing.</t>
  </si>
  <si>
    <t>Application Development Lead</t>
  </si>
  <si>
    <t>Proposed</t>
  </si>
  <si>
    <t>Candidate risk, not a verified vulnerability. Validate secure query handling and database privileges if evidence becomes available.</t>
  </si>
  <si>
    <t>Rated 4 (Likely) as a planning judgement because the website accepts user input and the effectiveness of query handling is unknown. This is not a measured probability; lower the rating if secure implementation is evidenced.</t>
  </si>
  <si>
    <t>Rated 5 (Severe) because successful injection could expose, alter or destroy database records depending on privileges and data sensitivity. Confirm the actual data and database permissions.</t>
  </si>
  <si>
    <t>P1 - Treat first</t>
  </si>
  <si>
    <t>R02</t>
  </si>
  <si>
    <t>Customer accounts and administrative portal</t>
  </si>
  <si>
    <t>Broken access control</t>
  </si>
  <si>
    <t>A user accesses another user's records or performs an action outside their permissions.</t>
  </si>
  <si>
    <t>Server-side authorisation checks may be missing, inconsistent or based only on client-side controls.</t>
  </si>
  <si>
    <t>Assumption: role definitions and server-side authorisation controls have not been supplied. Effectiveness is unknown.</t>
  </si>
  <si>
    <t>Enforce server-side authorisation on every protected operation; apply least privilege; test role and object-level access.</t>
  </si>
  <si>
    <t>Application Security Lead</t>
  </si>
  <si>
    <t>Candidate risk, not a verified vulnerability. Validate role and object-level authorisation design.</t>
  </si>
  <si>
    <t>Rated 4 (Likely) because access-control design and server-side checks are unknown in the scenario. Validate against documented roles and authorised testing before treating this as a finding.</t>
  </si>
  <si>
    <t>Rated 5 (Severe) because cross-account or privileged access could expose sensitive records or enable unauthorised changes.</t>
  </si>
  <si>
    <t>R03</t>
  </si>
  <si>
    <t>Authentication and session management</t>
  </si>
  <si>
    <t>Authentication failures</t>
  </si>
  <si>
    <t>An attacker compromises an account through weak credentials, credential attacks or insecure session handling.</t>
  </si>
  <si>
    <t>Password policy, rate limiting, multifactor authentication and session protections are unknown.</t>
  </si>
  <si>
    <t>Assumption: password, MFA, rate-limiting and session controls have not been supplied. Effectiveness is unknown.</t>
  </si>
  <si>
    <t>Use secure password storage, rate limiting, secure session cookies and session invalidation; require MFA for privileged accounts.</t>
  </si>
  <si>
    <t>Identity and Access Management Owner</t>
  </si>
  <si>
    <t>Candidate risk, not a verified vulnerability. Validate authentication and session controls.</t>
  </si>
  <si>
    <t>Rated 3 (Possible) because account sign-in is assumed, while rate limiting, MFA and session protections are unknown. Adjust with evidence about exposure and controls.</t>
  </si>
  <si>
    <t>Rated 4 (Major) because account compromise could expose profile data or enable unauthorised actions; impact depends on account privileges and data held.</t>
  </si>
  <si>
    <t>P2 - High priority</t>
  </si>
  <si>
    <t>R04</t>
  </si>
  <si>
    <t>Web application and server configuration</t>
  </si>
  <si>
    <t>Security misconfiguration</t>
  </si>
  <si>
    <t>An attacker exploits exposed services, unsafe defaults, verbose errors or overly permissive settings.</t>
  </si>
  <si>
    <t>Hardening baselines and configuration reviews may be absent or incomplete.</t>
  </si>
  <si>
    <t>Assumption: hardening standards and configuration-review records have not been supplied. Effectiveness is unknown.</t>
  </si>
  <si>
    <t>Apply secure configuration baselines; remove defaults and debug settings; restrict administration; review configurations regularly.</t>
  </si>
  <si>
    <t>Infrastructure / Platform Owner</t>
  </si>
  <si>
    <t>Candidate risk, not a verified vulnerability. Validate actual deployment and configuration.</t>
  </si>
  <si>
    <t>Rated 3 (Possible) because configuration details are unavailable and misconfiguration is a plausible scenario, but no specific misconfiguration has been observed.</t>
  </si>
  <si>
    <t>Rated 4 (Major) because exposed services, debug information or unsafe settings could enable compromise or disruption, depending on the affected component.</t>
  </si>
  <si>
    <t>R05</t>
  </si>
  <si>
    <t>Customer profile data and database</t>
  </si>
  <si>
    <t>Cryptographic failures</t>
  </si>
  <si>
    <t>Sensitive information is exposed because it is insufficiently protected in transit, at rest or through key management.</t>
  </si>
  <si>
    <t>Encryption requirements, TLS configuration and key-management processes are unknown.</t>
  </si>
  <si>
    <t>Assumption: TLS, encryption-at-rest requirements and key-management controls have not been supplied. Effectiveness is unknown.</t>
  </si>
  <si>
    <t>Use appropriately configured TLS; protect sensitive stored data where warranted; manage keys securely; minimise retained data.</t>
  </si>
  <si>
    <t>Data Protection / Security Owner</t>
  </si>
  <si>
    <t>Candidate risk, not a verified vulnerability. Validate data classification, encryption and key management.</t>
  </si>
  <si>
    <t>Rated 3 (Possible) because encryption and key-management practices are unknown; no evidence confirms that protection is inadequate.</t>
  </si>
  <si>
    <t>Rated 5 (Severe) because exposure of sensitive customer data could cause significant privacy, legal and reputational harm, depending on the data involved.</t>
  </si>
  <si>
    <t>R06</t>
  </si>
  <si>
    <t>Third-party libraries and application dependencies</t>
  </si>
  <si>
    <t>Software supply chain</t>
  </si>
  <si>
    <t>A vulnerable, compromised or unmaintained dependency introduces a weakness into the application.</t>
  </si>
  <si>
    <t>Dependency inventory, provenance checks and patch processes may be incomplete.</t>
  </si>
  <si>
    <t>Assumption: dependency inventory, trusted-source controls and patch records have not been supplied. Effectiveness is unknown.</t>
  </si>
  <si>
    <t>Maintain a dependency inventory; use trusted sources; review advisories; update and verify dependencies; protect build pipelines.</t>
  </si>
  <si>
    <t>Software Engineering Lead</t>
  </si>
  <si>
    <t>Candidate risk, not a verified vulnerability. Validate dependency inventory and patch processes.</t>
  </si>
  <si>
    <t>Rated 3 (Possible) because dependency inventory and patch practices are unknown; actual likelihood depends on the software stack and advisory exposure.</t>
  </si>
  <si>
    <t>Rated 4 (Major) because a vulnerable or compromised dependency could affect application integrity or availability, depending on its privileges and use.</t>
  </si>
  <si>
    <t>R07</t>
  </si>
  <si>
    <t>Security logs and monitoring</t>
  </si>
  <si>
    <t>Logging and alerting failures</t>
  </si>
  <si>
    <t>Suspicious activity is not detected or escalated in time because relevant events are missing or alerts are ineffective.</t>
  </si>
  <si>
    <t>Logging coverage, alert rules, log protection and incident ownership are unknown.</t>
  </si>
  <si>
    <t>Assumption: log coverage, alerting rules, retention and incident escalation procedures have not been supplied. Effectiveness is unknown.</t>
  </si>
  <si>
    <t>Log relevant authentication and administrative events; protect logs; configure actionable alerts; define escalation and retention.</t>
  </si>
  <si>
    <t>Security Operations Owner</t>
  </si>
  <si>
    <t>Candidate risk, not a verified vulnerability. Validate monitoring coverage and response processes.</t>
  </si>
  <si>
    <t>Rated 3 (Possible) because logging and alerting arrangements are unknown, so gaps are plausible but not verified.</t>
  </si>
  <si>
    <t>Rated 4 (Major) because missed alerts can delay detection and response, increasing the duration or impact of another incident.</t>
  </si>
  <si>
    <t>R08</t>
  </si>
  <si>
    <t>Backups and recovery processes</t>
  </si>
  <si>
    <t>Availability and recovery</t>
  </si>
  <si>
    <t>Data loss or a disruptive incident causes prolonged service outage because backups are missing, corrupted or not restorable.</t>
  </si>
  <si>
    <t>Backup frequency, isolation, retention and restore testing are unknown.</t>
  </si>
  <si>
    <t>Assumption: backup frequency, isolation, retention and restoration-test evidence have not been supplied. Effectiveness is unknown.</t>
  </si>
  <si>
    <t>Define recovery objectives; protect and isolate backups; restrict access; monitor backup jobs; periodically test restoration.</t>
  </si>
  <si>
    <t>IT Operations / Business Continuity Owner</t>
  </si>
  <si>
    <t>Candidate risk, not a verified vulnerability. Validate backup coverage, isolation, retention and restoration evidence.</t>
  </si>
  <si>
    <t>Rated 3 (Possible) because backup schedules, isolation and restore testing are unknown; likelihood depends on operational practices and incident exposure.</t>
  </si>
  <si>
    <t>Rated 4 (Major) because failed recovery could cause prolonged downtime or permanent data loss, depending on backup coverage and business requirements.</t>
  </si>
  <si>
    <t>R09</t>
  </si>
  <si>
    <t>Website application and hosting infrastructure</t>
  </si>
  <si>
    <t>Denial of service</t>
  </si>
  <si>
    <t>A malicious traffic surge or resource-exhaustion attempt makes the website unavailable or significantly slower for legitimate users.</t>
  </si>
  <si>
    <t>Capacity planning, rate limiting, traffic filtering and recovery arrangements are unknown.</t>
  </si>
  <si>
    <t>Assumption: DDoS protections, traffic filtering, capacity monitoring and availability/recovery arrangements have not been supplied. Effectiveness is unknown.</t>
  </si>
  <si>
    <t>Use appropriate rate limiting and traffic filtering; consider a reputable DDoS protection service; monitor availability and resource use; define incident escalation and recovery procedures.</t>
  </si>
  <si>
    <t>Infrastructure / Service Operations Owner</t>
  </si>
  <si>
    <t>Candidate risk, not a verified vulnerability. Validate traffic filtering, rate limiting, capacity monitoring and availability response arrangements.</t>
  </si>
  <si>
    <t>Rated 3 (Possible) because the site is assumed to be internet-facing, but traffic volume, resilience measures and threat exposure are unknown.</t>
  </si>
  <si>
    <t>Rated 4 (Major) because a sustained outage could interrupt customer access and business operations; actual impact depends on service criticality and resilience.</t>
  </si>
  <si>
    <t>P3 - Planned improvement</t>
  </si>
  <si>
    <t>R10</t>
  </si>
  <si>
    <t>Website transport and browser security configuration</t>
  </si>
  <si>
    <t>Security headers and transport configuration</t>
  </si>
  <si>
    <t>Weak transport or browser security configuration increases the chance that users are exposed to interception or certain client-side attacks.</t>
  </si>
  <si>
    <t>TLS configuration, HTTPS enforcement and browser security headers are unknown or may be inconsistent.</t>
  </si>
  <si>
    <t>Assumption: HTTPS enforcement, TLS settings and browser security headers have not been supplied. Effectiveness is unknown.</t>
  </si>
  <si>
    <t>Enforce HTTPS and appropriately configured TLS; configure suitable security headers such as Content-Security-Policy and frame protections where appropriate; review settings against application needs and test for compatibility.</t>
  </si>
  <si>
    <t>Web Platform / Application Security Owner</t>
  </si>
  <si>
    <t>Candidate risk, not a verified vulnerability. Validate HTTPS enforcement, TLS configuration and application-appropriate security headers.</t>
  </si>
  <si>
    <t>Rated 3 (Possible) because HTTPS/TLS and browser security header configuration have not been supplied; this is a plausible configuration concern, not an observed weakness.</t>
  </si>
  <si>
    <t>Rated 3 (Moderate) because missing or weak browser protections can increase exposure to some attacks, but impact depends on the application and other controls.</t>
  </si>
  <si>
    <t>Website Cybersecurity Risk Assessment - Scoring Guide</t>
  </si>
  <si>
    <t>Use this guide to assign consistent qualitative ratings to the example website scenario.</t>
  </si>
  <si>
    <t>Likelihood</t>
  </si>
  <si>
    <t>Definition</t>
  </si>
  <si>
    <t>Example interpretation</t>
  </si>
  <si>
    <t>Rare</t>
  </si>
  <si>
    <t>Would require unusual circumstances; little plausible exposure in the stated scenario.</t>
  </si>
  <si>
    <t>Unlikely</t>
  </si>
  <si>
    <t>Possible but not expected under the stated assumptions.</t>
  </si>
  <si>
    <t>Possible</t>
  </si>
  <si>
    <t>A credible scenario given the available information and unknown controls.</t>
  </si>
  <si>
    <t>Likely</t>
  </si>
  <si>
    <t>A strong plausible scenario, especially where exposure is broad and controls are uncertain.</t>
  </si>
  <si>
    <t>Almost certain</t>
  </si>
  <si>
    <t>Expected to occur repeatedly or imminently; use only with strong scenario-specific justification.</t>
  </si>
  <si>
    <t>Impact</t>
  </si>
  <si>
    <t>Negligible</t>
  </si>
  <si>
    <t>Minimal disruption or data effect; readily recoverable.</t>
  </si>
  <si>
    <t>Minor</t>
  </si>
  <si>
    <t>Limited impact affecting a small scope with straightforward recovery.</t>
  </si>
  <si>
    <t>Moderate</t>
  </si>
  <si>
    <t>Meaningful disruption or limited data exposure requiring coordinated response.</t>
  </si>
  <si>
    <t>Major</t>
  </si>
  <si>
    <t>Significant service interruption, sensitive data exposure or costly recovery.</t>
  </si>
  <si>
    <t>Severe</t>
  </si>
  <si>
    <t>Extensive sensitive data exposure, major compromise or prolonged critical outage.</t>
  </si>
  <si>
    <t>Score</t>
  </si>
  <si>
    <t>Risk level</t>
  </si>
  <si>
    <t>Treatment interpretation</t>
  </si>
  <si>
    <t>1-4</t>
  </si>
  <si>
    <t>Low</t>
  </si>
  <si>
    <t>Manage through routine controls and review.</t>
  </si>
  <si>
    <t>5-9</t>
  </si>
  <si>
    <t>Medium</t>
  </si>
  <si>
    <t>Plan proportionate treatment and monitor.</t>
  </si>
  <si>
    <t>10-16</t>
  </si>
  <si>
    <t>High</t>
  </si>
  <si>
    <t>Prioritise treatment and assign an accountable owner.</t>
  </si>
  <si>
    <t>17-25</t>
  </si>
  <si>
    <t>Critical</t>
  </si>
  <si>
    <t>Urgently review treatment options and escalate to appropriate decision-makers.</t>
  </si>
  <si>
    <t>Formula</t>
  </si>
  <si>
    <t>Risk score = Likelihood × Impact</t>
  </si>
  <si>
    <t>Important note</t>
  </si>
  <si>
    <t>These score bands and definitions are project-specific working criteria, not thresholds mandated by NIST or OWASP.</t>
  </si>
  <si>
    <t>Inherent risk</t>
  </si>
  <si>
    <t>Risk before considering controls.</t>
  </si>
  <si>
    <t>Residual risk</t>
  </si>
  <si>
    <t>Estimated risk remaining after proposed treatment. Do not describe it as verified until controls have been implemented and assessed.</t>
  </si>
  <si>
    <t>ABC Online Services is an example scenario. Risks and scores are illustrative, not verified findings about a live system.</t>
  </si>
  <si>
    <t>Control evidence</t>
  </si>
  <si>
    <t>How to record it</t>
  </si>
  <si>
    <t>Do not assume a control exists or is absent without evidence. Use 'unknown/unverified' when information has not been provided.</t>
  </si>
  <si>
    <t>Scoring rationale</t>
  </si>
  <si>
    <t>Document why each likelihood and impact value was selected.</t>
  </si>
  <si>
    <t>Explain scenario, exposure, data sensitivity, potential service impact and uncertainty. Scores are qualitative judgements, not measured probabilities.</t>
  </si>
  <si>
    <t>Priority order</t>
  </si>
  <si>
    <t>P1: highest urgency; P2: high priority; P3: planned improvement.</t>
  </si>
  <si>
    <t>Priorities in the register are proposed for this scenario and should be reviewed by the hypothetical organisation's decision-makers.</t>
  </si>
  <si>
    <t>Asset ID</t>
  </si>
  <si>
    <t>Business purpose / data</t>
  </si>
  <si>
    <t>Security properties</t>
  </si>
  <si>
    <t>Potential consequence if compromised</t>
  </si>
  <si>
    <t>AS-01</t>
  </si>
  <si>
    <t>Customer account and profile data</t>
  </si>
  <si>
    <t>Stores customer identity and profile records.</t>
  </si>
  <si>
    <t>Confidentiality, integrity, privacy</t>
  </si>
  <si>
    <t>Unauthorised disclosure, misuse or alteration of customer information.</t>
  </si>
  <si>
    <t>AS-02</t>
  </si>
  <si>
    <t>Website application</t>
  </si>
  <si>
    <t>Processes user requests and business logic.</t>
  </si>
  <si>
    <t>Integrity, confidentiality, availability</t>
  </si>
  <si>
    <t>Application compromise, data exposure or service disruption.</t>
  </si>
  <si>
    <t>AS-03</t>
  </si>
  <si>
    <t>Controls account sign-in and session continuity.</t>
  </si>
  <si>
    <t>Confidentiality, integrity</t>
  </si>
  <si>
    <t>Account takeover or unauthorised actions.</t>
  </si>
  <si>
    <t>AS-04</t>
  </si>
  <si>
    <t>Administrative portal and privileged accounts</t>
  </si>
  <si>
    <t>Supports staff administration and configuration.</t>
  </si>
  <si>
    <t>Privileged compromise and broad system changes.</t>
  </si>
  <si>
    <t>AS-05</t>
  </si>
  <si>
    <t>Database and storage</t>
  </si>
  <si>
    <t>Stores account records and application data.</t>
  </si>
  <si>
    <t>Confidentiality, integrity, availability</t>
  </si>
  <si>
    <t>Data theft, corruption or loss.</t>
  </si>
  <si>
    <t>AS-06</t>
  </si>
  <si>
    <t>Third-party software dependencies</t>
  </si>
  <si>
    <t>Libraries and components used by the application.</t>
  </si>
  <si>
    <t>Integrity, availability</t>
  </si>
  <si>
    <t>Introduction of vulnerable or malicious code.</t>
  </si>
  <si>
    <t>AS-07</t>
  </si>
  <si>
    <t>Security logs and alerts</t>
  </si>
  <si>
    <t>Supports detection, investigation and accountability.</t>
  </si>
  <si>
    <t>Integrity, availability, confidentiality</t>
  </si>
  <si>
    <t>Delayed detection and reduced investigation capability.</t>
  </si>
  <si>
    <t>AS-08</t>
  </si>
  <si>
    <t>Supports restoration after accidental loss or incident.</t>
  </si>
  <si>
    <t>Availability, integrity, recoverability</t>
  </si>
  <si>
    <t>Prolonged outage or permanent data loss.</t>
  </si>
  <si>
    <t xml:space="preserve">P2 - High priority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</si>
</sst>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8"/>
      <color rgb="FFFFFFFF"/>
      <name val="Calibri"/>
    </font>
    <font>
      <b/>
      <sz val="11"/>
      <color rgb="FF1F1F1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5" fillId="0" borderId="0" xfId="0" applyFont="1"/>
    <xf numFmtId="0" fontId="0" fillId="0" borderId="3" xfId="0" applyBorder="1" applyAlignment="1">
      <alignment vertical="top" wrapText="1"/>
    </xf>
    <xf numFmtId="0" fontId="0" fillId="0" borderId="2" xfId="0" applyBorder="1"/>
    <xf numFmtId="0" fontId="3" fillId="2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defaultRowHeight="14.4" x14ac:dyDescent="0.3"/>
  <cols>
    <col min="1" max="1" width="26" customWidth="1"/>
    <col min="2" max="2" width="40" customWidth="1"/>
    <col min="3" max="4" width="28" customWidth="1"/>
  </cols>
  <sheetData>
    <row r="1" spans="1:4" ht="34.049999999999997" customHeight="1" x14ac:dyDescent="0.3">
      <c r="A1" s="9" t="s">
        <v>0</v>
      </c>
      <c r="B1" s="10"/>
      <c r="C1" s="10"/>
      <c r="D1" s="10"/>
    </row>
    <row r="2" spans="1:4" x14ac:dyDescent="0.3">
      <c r="A2" s="2"/>
      <c r="B2" s="2"/>
      <c r="C2" s="2"/>
      <c r="D2" s="2"/>
    </row>
    <row r="3" spans="1:4" x14ac:dyDescent="0.3">
      <c r="A3" s="3" t="s">
        <v>1</v>
      </c>
      <c r="B3" s="2" t="s">
        <v>2</v>
      </c>
      <c r="C3" s="2"/>
      <c r="D3" s="2"/>
    </row>
    <row r="4" spans="1:4" ht="28.8" x14ac:dyDescent="0.3">
      <c r="A4" s="3" t="s">
        <v>3</v>
      </c>
      <c r="B4" s="2" t="s">
        <v>4</v>
      </c>
      <c r="C4" s="2"/>
      <c r="D4" s="2"/>
    </row>
    <row r="5" spans="1:4" x14ac:dyDescent="0.3">
      <c r="A5" s="2"/>
      <c r="B5" s="2"/>
      <c r="C5" s="2"/>
      <c r="D5" s="2"/>
    </row>
    <row r="6" spans="1:4" ht="43.95" customHeight="1" x14ac:dyDescent="0.3">
      <c r="A6" s="3" t="s">
        <v>5</v>
      </c>
      <c r="B6" s="7" t="s">
        <v>6</v>
      </c>
      <c r="C6" s="8"/>
      <c r="D6" s="8"/>
    </row>
    <row r="7" spans="1:4" x14ac:dyDescent="0.3">
      <c r="A7" s="2"/>
      <c r="B7" s="2"/>
      <c r="C7" s="2"/>
      <c r="D7" s="2"/>
    </row>
    <row r="8" spans="1:4" x14ac:dyDescent="0.3">
      <c r="A8" s="3" t="s">
        <v>7</v>
      </c>
      <c r="B8" s="2" t="s">
        <v>8</v>
      </c>
      <c r="C8" s="2"/>
      <c r="D8" s="2"/>
    </row>
    <row r="9" spans="1:4" x14ac:dyDescent="0.3">
      <c r="A9" s="3" t="s">
        <v>9</v>
      </c>
      <c r="B9" s="2" t="s">
        <v>10</v>
      </c>
      <c r="C9" s="2"/>
      <c r="D9" s="2"/>
    </row>
    <row r="10" spans="1:4" x14ac:dyDescent="0.3">
      <c r="A10" s="3" t="s">
        <v>11</v>
      </c>
      <c r="B10" s="7" t="s">
        <v>12</v>
      </c>
      <c r="C10" s="8"/>
      <c r="D10" s="8"/>
    </row>
    <row r="11" spans="1:4" x14ac:dyDescent="0.3">
      <c r="A11" s="2"/>
      <c r="B11" s="2"/>
      <c r="C11" s="2"/>
      <c r="D11" s="2"/>
    </row>
    <row r="12" spans="1:4" ht="52.05" customHeight="1" x14ac:dyDescent="0.3">
      <c r="A12" s="3" t="s">
        <v>13</v>
      </c>
      <c r="B12" s="7" t="s">
        <v>14</v>
      </c>
      <c r="C12" s="10"/>
      <c r="D12" s="10"/>
    </row>
    <row r="13" spans="1:4" ht="34.950000000000003" customHeight="1" x14ac:dyDescent="0.3">
      <c r="A13" s="2"/>
      <c r="B13" s="8"/>
      <c r="C13" s="8"/>
      <c r="D13" s="8"/>
    </row>
    <row r="14" spans="1:4" x14ac:dyDescent="0.3">
      <c r="A14" s="2"/>
      <c r="B14" s="2"/>
      <c r="C14" s="2"/>
      <c r="D14" s="2"/>
    </row>
    <row r="15" spans="1:4" ht="42" customHeight="1" x14ac:dyDescent="0.3">
      <c r="A15" s="3" t="s">
        <v>15</v>
      </c>
      <c r="B15" s="7" t="s">
        <v>16</v>
      </c>
      <c r="C15" s="10"/>
      <c r="D15" s="10"/>
    </row>
    <row r="16" spans="1:4" ht="30" customHeight="1" x14ac:dyDescent="0.3">
      <c r="A16" s="2"/>
      <c r="B16" s="8"/>
      <c r="C16" s="8"/>
      <c r="D16" s="8"/>
    </row>
    <row r="17" spans="1:4" ht="37.950000000000003" customHeight="1" x14ac:dyDescent="0.3">
      <c r="A17" s="6" t="s">
        <v>17</v>
      </c>
      <c r="B17" s="11" t="s">
        <v>18</v>
      </c>
      <c r="C17" s="10"/>
      <c r="D17" s="10"/>
    </row>
  </sheetData>
  <mergeCells count="6">
    <mergeCell ref="B10:D10"/>
    <mergeCell ref="A1:D1"/>
    <mergeCell ref="B15:D16"/>
    <mergeCell ref="B17:D17"/>
    <mergeCell ref="B12:D13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topLeftCell="Q1" workbookViewId="0">
      <pane ySplit="1" topLeftCell="A9" activePane="bottomLeft" state="frozen"/>
      <selection pane="bottomLeft" activeCell="T11" sqref="T11"/>
    </sheetView>
  </sheetViews>
  <sheetFormatPr defaultRowHeight="14.4" x14ac:dyDescent="0.3"/>
  <cols>
    <col min="1" max="1" width="10" customWidth="1"/>
    <col min="2" max="2" width="28" customWidth="1"/>
    <col min="3" max="3" width="25" customWidth="1"/>
    <col min="4" max="5" width="42" customWidth="1"/>
    <col min="6" max="6" width="38" customWidth="1"/>
    <col min="7" max="7" width="15" customWidth="1"/>
    <col min="8" max="8" width="12" customWidth="1"/>
    <col min="9" max="9" width="13" customWidth="1"/>
    <col min="10" max="10" width="15" customWidth="1"/>
    <col min="11" max="11" width="46" customWidth="1"/>
    <col min="12" max="12" width="30" customWidth="1"/>
    <col min="13" max="13" width="22" customWidth="1"/>
    <col min="14" max="15" width="20" customWidth="1"/>
    <col min="16" max="16" width="21" customWidth="1"/>
    <col min="17" max="17" width="18" customWidth="1"/>
    <col min="18" max="18" width="48" customWidth="1"/>
    <col min="19" max="20" width="58" customWidth="1"/>
    <col min="21" max="21" width="24" customWidth="1"/>
  </cols>
  <sheetData>
    <row r="1" spans="1:21" ht="55.05" customHeight="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</row>
    <row r="2" spans="1:21" ht="115.05" customHeight="1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>
        <v>4</v>
      </c>
      <c r="H2" s="2">
        <v>5</v>
      </c>
      <c r="I2" s="2">
        <f t="shared" ref="I2:I11" si="0">G2*H2</f>
        <v>20</v>
      </c>
      <c r="J2" s="2" t="str">
        <f t="shared" ref="J2:J11" si="1">IF(I2&gt;=17,"Critical",IF(I2&gt;=10,"High",IF(I2&gt;=5,"Medium","Low")))</f>
        <v>Critical</v>
      </c>
      <c r="K2" s="2" t="s">
        <v>46</v>
      </c>
      <c r="L2" s="2" t="s">
        <v>47</v>
      </c>
      <c r="M2" s="2">
        <v>2</v>
      </c>
      <c r="N2" s="2">
        <v>5</v>
      </c>
      <c r="O2" s="2">
        <f t="shared" ref="O2:O11" si="2">M2*N2</f>
        <v>10</v>
      </c>
      <c r="P2" s="2" t="str">
        <f t="shared" ref="P2:P11" si="3">IF(O2&gt;=17,"Critical",IF(O2&gt;=10,"High",IF(O2&gt;=5,"Medium","Low")))</f>
        <v>High</v>
      </c>
      <c r="Q2" s="2" t="s">
        <v>48</v>
      </c>
      <c r="R2" s="2" t="s">
        <v>49</v>
      </c>
      <c r="S2" s="1" t="s">
        <v>50</v>
      </c>
      <c r="T2" s="1" t="s">
        <v>51</v>
      </c>
      <c r="U2" s="1" t="s">
        <v>52</v>
      </c>
    </row>
    <row r="3" spans="1:21" ht="115.05" customHeight="1" x14ac:dyDescent="0.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>
        <v>4</v>
      </c>
      <c r="H3" s="2">
        <v>5</v>
      </c>
      <c r="I3" s="2">
        <f t="shared" si="0"/>
        <v>20</v>
      </c>
      <c r="J3" s="2" t="str">
        <f t="shared" si="1"/>
        <v>Critical</v>
      </c>
      <c r="K3" s="2" t="s">
        <v>59</v>
      </c>
      <c r="L3" s="2" t="s">
        <v>60</v>
      </c>
      <c r="M3" s="2">
        <v>2</v>
      </c>
      <c r="N3" s="2">
        <v>5</v>
      </c>
      <c r="O3" s="2">
        <f t="shared" si="2"/>
        <v>10</v>
      </c>
      <c r="P3" s="2" t="str">
        <f t="shared" si="3"/>
        <v>High</v>
      </c>
      <c r="Q3" s="2" t="s">
        <v>48</v>
      </c>
      <c r="R3" s="2" t="s">
        <v>61</v>
      </c>
      <c r="S3" s="1" t="s">
        <v>62</v>
      </c>
      <c r="T3" s="1" t="s">
        <v>63</v>
      </c>
      <c r="U3" s="1" t="s">
        <v>52</v>
      </c>
    </row>
    <row r="4" spans="1:21" ht="115.05" customHeight="1" x14ac:dyDescent="0.3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>
        <v>3</v>
      </c>
      <c r="H4" s="2">
        <v>4</v>
      </c>
      <c r="I4" s="2">
        <f t="shared" si="0"/>
        <v>12</v>
      </c>
      <c r="J4" s="2" t="str">
        <f t="shared" si="1"/>
        <v>High</v>
      </c>
      <c r="K4" s="2" t="s">
        <v>70</v>
      </c>
      <c r="L4" s="2" t="s">
        <v>71</v>
      </c>
      <c r="M4" s="2">
        <v>2</v>
      </c>
      <c r="N4" s="2">
        <v>4</v>
      </c>
      <c r="O4" s="2">
        <f t="shared" si="2"/>
        <v>8</v>
      </c>
      <c r="P4" s="2" t="str">
        <f t="shared" si="3"/>
        <v>Medium</v>
      </c>
      <c r="Q4" s="2" t="s">
        <v>48</v>
      </c>
      <c r="R4" s="2" t="s">
        <v>72</v>
      </c>
      <c r="S4" s="1" t="s">
        <v>73</v>
      </c>
      <c r="T4" s="1" t="s">
        <v>74</v>
      </c>
      <c r="U4" s="1" t="s">
        <v>75</v>
      </c>
    </row>
    <row r="5" spans="1:21" ht="115.05" customHeight="1" x14ac:dyDescent="0.3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81</v>
      </c>
      <c r="G5" s="2">
        <v>3</v>
      </c>
      <c r="H5" s="2">
        <v>4</v>
      </c>
      <c r="I5" s="2">
        <f t="shared" si="0"/>
        <v>12</v>
      </c>
      <c r="J5" s="2" t="str">
        <f t="shared" si="1"/>
        <v>High</v>
      </c>
      <c r="K5" s="2" t="s">
        <v>82</v>
      </c>
      <c r="L5" s="2" t="s">
        <v>83</v>
      </c>
      <c r="M5" s="2">
        <v>2</v>
      </c>
      <c r="N5" s="2">
        <v>4</v>
      </c>
      <c r="O5" s="2">
        <f t="shared" si="2"/>
        <v>8</v>
      </c>
      <c r="P5" s="2" t="str">
        <f t="shared" si="3"/>
        <v>Medium</v>
      </c>
      <c r="Q5" s="2" t="s">
        <v>48</v>
      </c>
      <c r="R5" s="2" t="s">
        <v>84</v>
      </c>
      <c r="S5" s="1" t="s">
        <v>85</v>
      </c>
      <c r="T5" s="1" t="s">
        <v>86</v>
      </c>
      <c r="U5" s="1" t="s">
        <v>75</v>
      </c>
    </row>
    <row r="6" spans="1:21" ht="115.05" customHeight="1" x14ac:dyDescent="0.3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92</v>
      </c>
      <c r="G6" s="2">
        <v>3</v>
      </c>
      <c r="H6" s="2">
        <v>5</v>
      </c>
      <c r="I6" s="2">
        <f t="shared" si="0"/>
        <v>15</v>
      </c>
      <c r="J6" s="2" t="str">
        <f t="shared" si="1"/>
        <v>High</v>
      </c>
      <c r="K6" s="2" t="s">
        <v>93</v>
      </c>
      <c r="L6" s="2" t="s">
        <v>94</v>
      </c>
      <c r="M6" s="2">
        <v>2</v>
      </c>
      <c r="N6" s="2">
        <v>5</v>
      </c>
      <c r="O6" s="2">
        <f t="shared" si="2"/>
        <v>10</v>
      </c>
      <c r="P6" s="2" t="str">
        <f t="shared" si="3"/>
        <v>High</v>
      </c>
      <c r="Q6" s="2" t="s">
        <v>48</v>
      </c>
      <c r="R6" s="2" t="s">
        <v>95</v>
      </c>
      <c r="S6" s="1" t="s">
        <v>96</v>
      </c>
      <c r="T6" s="1" t="s">
        <v>97</v>
      </c>
      <c r="U6" s="1" t="s">
        <v>52</v>
      </c>
    </row>
    <row r="7" spans="1:21" ht="115.05" customHeight="1" x14ac:dyDescent="0.3">
      <c r="A7" s="2" t="s">
        <v>98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103</v>
      </c>
      <c r="G7" s="2">
        <v>3</v>
      </c>
      <c r="H7" s="2">
        <v>4</v>
      </c>
      <c r="I7" s="2">
        <f t="shared" si="0"/>
        <v>12</v>
      </c>
      <c r="J7" s="2" t="str">
        <f t="shared" si="1"/>
        <v>High</v>
      </c>
      <c r="K7" s="2" t="s">
        <v>104</v>
      </c>
      <c r="L7" s="2" t="s">
        <v>105</v>
      </c>
      <c r="M7" s="2">
        <v>2</v>
      </c>
      <c r="N7" s="2">
        <v>4</v>
      </c>
      <c r="O7" s="2">
        <f t="shared" si="2"/>
        <v>8</v>
      </c>
      <c r="P7" s="2" t="str">
        <f t="shared" si="3"/>
        <v>Medium</v>
      </c>
      <c r="Q7" s="2" t="s">
        <v>48</v>
      </c>
      <c r="R7" s="2" t="s">
        <v>106</v>
      </c>
      <c r="S7" s="1" t="s">
        <v>107</v>
      </c>
      <c r="T7" s="1" t="s">
        <v>108</v>
      </c>
      <c r="U7" s="1" t="s">
        <v>75</v>
      </c>
    </row>
    <row r="8" spans="1:21" ht="115.05" customHeight="1" x14ac:dyDescent="0.3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>
        <v>3</v>
      </c>
      <c r="H8" s="2">
        <v>4</v>
      </c>
      <c r="I8" s="2">
        <f t="shared" si="0"/>
        <v>12</v>
      </c>
      <c r="J8" s="2" t="str">
        <f t="shared" si="1"/>
        <v>High</v>
      </c>
      <c r="K8" s="2" t="s">
        <v>115</v>
      </c>
      <c r="L8" s="2" t="s">
        <v>116</v>
      </c>
      <c r="M8" s="2">
        <v>2</v>
      </c>
      <c r="N8" s="2">
        <v>3</v>
      </c>
      <c r="O8" s="2">
        <f t="shared" si="2"/>
        <v>6</v>
      </c>
      <c r="P8" s="2" t="str">
        <f t="shared" si="3"/>
        <v>Medium</v>
      </c>
      <c r="Q8" s="2" t="s">
        <v>48</v>
      </c>
      <c r="R8" s="2" t="s">
        <v>117</v>
      </c>
      <c r="S8" s="1" t="s">
        <v>118</v>
      </c>
      <c r="T8" s="1" t="s">
        <v>119</v>
      </c>
      <c r="U8" s="1" t="s">
        <v>75</v>
      </c>
    </row>
    <row r="9" spans="1:21" ht="115.05" customHeight="1" x14ac:dyDescent="0.3">
      <c r="A9" s="2" t="s">
        <v>120</v>
      </c>
      <c r="B9" s="2" t="s">
        <v>121</v>
      </c>
      <c r="C9" s="2" t="s">
        <v>122</v>
      </c>
      <c r="D9" s="2" t="s">
        <v>123</v>
      </c>
      <c r="E9" s="2" t="s">
        <v>124</v>
      </c>
      <c r="F9" s="2" t="s">
        <v>125</v>
      </c>
      <c r="G9" s="2">
        <v>3</v>
      </c>
      <c r="H9" s="2">
        <v>4</v>
      </c>
      <c r="I9" s="2">
        <f t="shared" si="0"/>
        <v>12</v>
      </c>
      <c r="J9" s="2" t="str">
        <f t="shared" si="1"/>
        <v>High</v>
      </c>
      <c r="K9" s="2" t="s">
        <v>126</v>
      </c>
      <c r="L9" s="2" t="s">
        <v>127</v>
      </c>
      <c r="M9" s="2">
        <v>2</v>
      </c>
      <c r="N9" s="2">
        <v>4</v>
      </c>
      <c r="O9" s="2">
        <f t="shared" si="2"/>
        <v>8</v>
      </c>
      <c r="P9" s="2" t="str">
        <f t="shared" si="3"/>
        <v>Medium</v>
      </c>
      <c r="Q9" s="2" t="s">
        <v>48</v>
      </c>
      <c r="R9" s="2" t="s">
        <v>128</v>
      </c>
      <c r="S9" s="1" t="s">
        <v>129</v>
      </c>
      <c r="T9" s="1" t="s">
        <v>130</v>
      </c>
      <c r="U9" s="1" t="s">
        <v>75</v>
      </c>
    </row>
    <row r="10" spans="1:21" ht="115.05" customHeight="1" x14ac:dyDescent="0.3">
      <c r="A10" s="2" t="s">
        <v>131</v>
      </c>
      <c r="B10" s="2" t="s">
        <v>132</v>
      </c>
      <c r="C10" s="2" t="s">
        <v>133</v>
      </c>
      <c r="D10" s="2" t="s">
        <v>134</v>
      </c>
      <c r="E10" s="2" t="s">
        <v>135</v>
      </c>
      <c r="F10" s="2" t="s">
        <v>136</v>
      </c>
      <c r="G10" s="2">
        <v>3</v>
      </c>
      <c r="H10" s="2">
        <v>4</v>
      </c>
      <c r="I10" s="2">
        <f t="shared" si="0"/>
        <v>12</v>
      </c>
      <c r="J10" s="2" t="str">
        <f t="shared" si="1"/>
        <v>High</v>
      </c>
      <c r="K10" s="2" t="s">
        <v>137</v>
      </c>
      <c r="L10" s="2" t="s">
        <v>138</v>
      </c>
      <c r="M10" s="2">
        <v>2</v>
      </c>
      <c r="N10" s="2">
        <v>4</v>
      </c>
      <c r="O10" s="2">
        <f t="shared" si="2"/>
        <v>8</v>
      </c>
      <c r="P10" s="2" t="str">
        <f t="shared" si="3"/>
        <v>Medium</v>
      </c>
      <c r="Q10" s="2" t="s">
        <v>48</v>
      </c>
      <c r="R10" s="2" t="s">
        <v>139</v>
      </c>
      <c r="S10" s="1" t="s">
        <v>140</v>
      </c>
      <c r="T10" s="1" t="s">
        <v>141</v>
      </c>
      <c r="U10" s="1" t="s">
        <v>254</v>
      </c>
    </row>
    <row r="11" spans="1:21" ht="115.05" customHeight="1" x14ac:dyDescent="0.3">
      <c r="A11" s="2" t="s">
        <v>143</v>
      </c>
      <c r="B11" s="2" t="s">
        <v>144</v>
      </c>
      <c r="C11" s="2" t="s">
        <v>145</v>
      </c>
      <c r="D11" s="2" t="s">
        <v>146</v>
      </c>
      <c r="E11" s="2" t="s">
        <v>147</v>
      </c>
      <c r="F11" s="2" t="s">
        <v>148</v>
      </c>
      <c r="G11" s="2">
        <v>3</v>
      </c>
      <c r="H11" s="2">
        <v>3</v>
      </c>
      <c r="I11" s="2">
        <f t="shared" si="0"/>
        <v>9</v>
      </c>
      <c r="J11" s="2" t="str">
        <f t="shared" si="1"/>
        <v>Medium</v>
      </c>
      <c r="K11" s="2" t="s">
        <v>149</v>
      </c>
      <c r="L11" s="2" t="s">
        <v>150</v>
      </c>
      <c r="M11" s="2">
        <v>2</v>
      </c>
      <c r="N11" s="2">
        <v>3</v>
      </c>
      <c r="O11" s="2">
        <f t="shared" si="2"/>
        <v>6</v>
      </c>
      <c r="P11" s="2" t="str">
        <f t="shared" si="3"/>
        <v>Medium</v>
      </c>
      <c r="Q11" s="2" t="s">
        <v>48</v>
      </c>
      <c r="R11" s="2" t="s">
        <v>151</v>
      </c>
      <c r="S11" s="1" t="s">
        <v>152</v>
      </c>
      <c r="T11" s="1" t="s">
        <v>153</v>
      </c>
      <c r="U11" s="1" t="s">
        <v>142</v>
      </c>
    </row>
  </sheetData>
  <autoFilter ref="A1:U11" xr:uid="{00000000-0009-0000-0000-000001000000}"/>
  <conditionalFormatting sqref="I2:I11">
    <cfRule type="cellIs" dxfId="7" priority="1" operator="greaterThanOrEqual">
      <formula>17</formula>
    </cfRule>
    <cfRule type="cellIs" dxfId="6" priority="2" operator="between">
      <formula>10</formula>
      <formula>16</formula>
    </cfRule>
    <cfRule type="cellIs" dxfId="5" priority="3" operator="between">
      <formula>5</formula>
      <formula>9</formula>
    </cfRule>
    <cfRule type="cellIs" dxfId="4" priority="4" operator="between">
      <formula>1</formula>
      <formula>4</formula>
    </cfRule>
  </conditionalFormatting>
  <conditionalFormatting sqref="O2:O11">
    <cfRule type="cellIs" dxfId="3" priority="5" operator="greaterThanOrEqual">
      <formula>17</formula>
    </cfRule>
    <cfRule type="cellIs" dxfId="2" priority="6" operator="between">
      <formula>10</formula>
      <formula>16</formula>
    </cfRule>
    <cfRule type="cellIs" dxfId="1" priority="7" operator="between">
      <formula>5</formula>
      <formula>9</formula>
    </cfRule>
    <cfRule type="cellIs" dxfId="0" priority="8" operator="between">
      <formula>1</formula>
      <formula>4</formula>
    </cfRule>
  </conditionalFormatting>
  <dataValidations count="3">
    <dataValidation type="whole" errorTitle="Invalid score" error="Enter a whole number from 1 to 5." promptTitle="Risk score" prompt="Use the documented 1-5 likelihood or impact scale." sqref="G2:G9 H2:H9 M2:M9 N2:N9" xr:uid="{00000000-0002-0000-0100-000000000000}">
      <formula1>1</formula1>
      <formula2>5</formula2>
    </dataValidation>
    <dataValidation type="list" sqref="Q2:Q9" xr:uid="{00000000-0002-0000-0100-000001000000}">
      <formula1>"Proposed,In progress,Implemented,Accepted,Closed"</formula1>
    </dataValidation>
    <dataValidation type="whole" errorTitle="Invalid score" error="Enter a whole number from 1 to 5." sqref="G10:G11 H10:H11 M10:M11 N10:N11" xr:uid="{00000000-0002-0000-0100-000002000000}">
      <formula1>1</formula1>
      <formula2>5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38" customWidth="1"/>
    <col min="3" max="3" width="86" customWidth="1"/>
  </cols>
  <sheetData>
    <row r="1" spans="1:3" x14ac:dyDescent="0.3">
      <c r="A1" s="12" t="s">
        <v>154</v>
      </c>
      <c r="B1" s="8"/>
      <c r="C1" s="8"/>
    </row>
    <row r="2" spans="1:3" x14ac:dyDescent="0.3">
      <c r="A2" s="2" t="s">
        <v>5</v>
      </c>
      <c r="B2" s="7" t="s">
        <v>155</v>
      </c>
      <c r="C2" s="8"/>
    </row>
    <row r="3" spans="1:3" x14ac:dyDescent="0.3">
      <c r="A3" s="5" t="s">
        <v>156</v>
      </c>
      <c r="B3" s="5" t="s">
        <v>157</v>
      </c>
      <c r="C3" s="5" t="s">
        <v>158</v>
      </c>
    </row>
    <row r="4" spans="1:3" x14ac:dyDescent="0.3">
      <c r="A4" s="2">
        <v>1</v>
      </c>
      <c r="B4" s="2" t="s">
        <v>159</v>
      </c>
      <c r="C4" s="2" t="s">
        <v>160</v>
      </c>
    </row>
    <row r="5" spans="1:3" x14ac:dyDescent="0.3">
      <c r="A5" s="2">
        <v>2</v>
      </c>
      <c r="B5" s="2" t="s">
        <v>161</v>
      </c>
      <c r="C5" s="2" t="s">
        <v>162</v>
      </c>
    </row>
    <row r="6" spans="1:3" x14ac:dyDescent="0.3">
      <c r="A6" s="2">
        <v>3</v>
      </c>
      <c r="B6" s="2" t="s">
        <v>163</v>
      </c>
      <c r="C6" s="2" t="s">
        <v>164</v>
      </c>
    </row>
    <row r="7" spans="1:3" x14ac:dyDescent="0.3">
      <c r="A7" s="2">
        <v>4</v>
      </c>
      <c r="B7" s="2" t="s">
        <v>165</v>
      </c>
      <c r="C7" s="2" t="s">
        <v>166</v>
      </c>
    </row>
    <row r="8" spans="1:3" x14ac:dyDescent="0.3">
      <c r="A8" s="2">
        <v>5</v>
      </c>
      <c r="B8" s="2" t="s">
        <v>167</v>
      </c>
      <c r="C8" s="2" t="s">
        <v>168</v>
      </c>
    </row>
    <row r="9" spans="1:3" x14ac:dyDescent="0.3">
      <c r="A9" s="2"/>
      <c r="B9" s="2"/>
      <c r="C9" s="2"/>
    </row>
    <row r="10" spans="1:3" x14ac:dyDescent="0.3">
      <c r="A10" s="5" t="s">
        <v>169</v>
      </c>
      <c r="B10" s="5" t="s">
        <v>157</v>
      </c>
      <c r="C10" s="5" t="s">
        <v>158</v>
      </c>
    </row>
    <row r="11" spans="1:3" x14ac:dyDescent="0.3">
      <c r="A11" s="2">
        <v>1</v>
      </c>
      <c r="B11" s="2" t="s">
        <v>170</v>
      </c>
      <c r="C11" s="2" t="s">
        <v>171</v>
      </c>
    </row>
    <row r="12" spans="1:3" x14ac:dyDescent="0.3">
      <c r="A12" s="2">
        <v>2</v>
      </c>
      <c r="B12" s="2" t="s">
        <v>172</v>
      </c>
      <c r="C12" s="2" t="s">
        <v>173</v>
      </c>
    </row>
    <row r="13" spans="1:3" x14ac:dyDescent="0.3">
      <c r="A13" s="2">
        <v>3</v>
      </c>
      <c r="B13" s="2" t="s">
        <v>174</v>
      </c>
      <c r="C13" s="2" t="s">
        <v>175</v>
      </c>
    </row>
    <row r="14" spans="1:3" x14ac:dyDescent="0.3">
      <c r="A14" s="2">
        <v>4</v>
      </c>
      <c r="B14" s="2" t="s">
        <v>176</v>
      </c>
      <c r="C14" s="2" t="s">
        <v>177</v>
      </c>
    </row>
    <row r="15" spans="1:3" x14ac:dyDescent="0.3">
      <c r="A15" s="2">
        <v>5</v>
      </c>
      <c r="B15" s="2" t="s">
        <v>178</v>
      </c>
      <c r="C15" s="2" t="s">
        <v>179</v>
      </c>
    </row>
    <row r="16" spans="1:3" x14ac:dyDescent="0.3">
      <c r="A16" s="2"/>
      <c r="B16" s="2"/>
      <c r="C16" s="2"/>
    </row>
    <row r="17" spans="1:3" x14ac:dyDescent="0.3">
      <c r="A17" s="5" t="s">
        <v>180</v>
      </c>
      <c r="B17" s="5" t="s">
        <v>181</v>
      </c>
      <c r="C17" s="5" t="s">
        <v>182</v>
      </c>
    </row>
    <row r="18" spans="1:3" x14ac:dyDescent="0.3">
      <c r="A18" s="2" t="s">
        <v>183</v>
      </c>
      <c r="B18" s="2" t="s">
        <v>184</v>
      </c>
      <c r="C18" s="2" t="s">
        <v>185</v>
      </c>
    </row>
    <row r="19" spans="1:3" x14ac:dyDescent="0.3">
      <c r="A19" s="2" t="s">
        <v>186</v>
      </c>
      <c r="B19" s="2" t="s">
        <v>187</v>
      </c>
      <c r="C19" s="2" t="s">
        <v>188</v>
      </c>
    </row>
    <row r="20" spans="1:3" x14ac:dyDescent="0.3">
      <c r="A20" s="2" t="s">
        <v>189</v>
      </c>
      <c r="B20" s="2" t="s">
        <v>190</v>
      </c>
      <c r="C20" s="2" t="s">
        <v>191</v>
      </c>
    </row>
    <row r="21" spans="1:3" x14ac:dyDescent="0.3">
      <c r="A21" s="2" t="s">
        <v>192</v>
      </c>
      <c r="B21" s="2" t="s">
        <v>193</v>
      </c>
      <c r="C21" s="2" t="s">
        <v>194</v>
      </c>
    </row>
    <row r="22" spans="1:3" x14ac:dyDescent="0.3">
      <c r="A22" s="2"/>
      <c r="B22" s="2"/>
      <c r="C22" s="2"/>
    </row>
    <row r="23" spans="1:3" x14ac:dyDescent="0.3">
      <c r="A23" s="2" t="s">
        <v>195</v>
      </c>
      <c r="B23" s="7" t="s">
        <v>196</v>
      </c>
      <c r="C23" s="8"/>
    </row>
    <row r="24" spans="1:3" x14ac:dyDescent="0.3">
      <c r="A24" s="2" t="s">
        <v>197</v>
      </c>
      <c r="B24" s="7" t="s">
        <v>198</v>
      </c>
      <c r="C24" s="8"/>
    </row>
    <row r="25" spans="1:3" x14ac:dyDescent="0.3">
      <c r="A25" s="2" t="s">
        <v>199</v>
      </c>
      <c r="B25" s="7" t="s">
        <v>200</v>
      </c>
      <c r="C25" s="8"/>
    </row>
    <row r="26" spans="1:3" x14ac:dyDescent="0.3">
      <c r="A26" s="2" t="s">
        <v>201</v>
      </c>
      <c r="B26" s="7" t="s">
        <v>202</v>
      </c>
      <c r="C26" s="8"/>
    </row>
    <row r="27" spans="1:3" x14ac:dyDescent="0.3">
      <c r="A27" s="2" t="s">
        <v>3</v>
      </c>
      <c r="B27" s="7" t="s">
        <v>203</v>
      </c>
      <c r="C27" s="8"/>
    </row>
    <row r="29" spans="1:3" ht="28.8" x14ac:dyDescent="0.3">
      <c r="A29" s="2" t="s">
        <v>204</v>
      </c>
      <c r="B29" s="2" t="s">
        <v>205</v>
      </c>
      <c r="C29" s="2" t="s">
        <v>206</v>
      </c>
    </row>
    <row r="30" spans="1:3" ht="28.8" x14ac:dyDescent="0.3">
      <c r="A30" s="2" t="s">
        <v>207</v>
      </c>
      <c r="B30" s="2" t="s">
        <v>208</v>
      </c>
      <c r="C30" s="2" t="s">
        <v>209</v>
      </c>
    </row>
    <row r="31" spans="1:3" ht="28.8" x14ac:dyDescent="0.3">
      <c r="A31" s="2" t="s">
        <v>210</v>
      </c>
      <c r="B31" s="2" t="s">
        <v>211</v>
      </c>
      <c r="C31" s="2" t="s">
        <v>212</v>
      </c>
    </row>
  </sheetData>
  <mergeCells count="7">
    <mergeCell ref="B26:C26"/>
    <mergeCell ref="B27:C27"/>
    <mergeCell ref="B24:C24"/>
    <mergeCell ref="B2:C2"/>
    <mergeCell ref="A1:C1"/>
    <mergeCell ref="B25:C25"/>
    <mergeCell ref="B23:C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4" customWidth="1"/>
    <col min="3" max="3" width="45" customWidth="1"/>
    <col min="4" max="4" width="34" customWidth="1"/>
    <col min="5" max="5" width="52" customWidth="1"/>
  </cols>
  <sheetData>
    <row r="1" spans="1:5" ht="42" customHeight="1" x14ac:dyDescent="0.3">
      <c r="A1" s="4" t="s">
        <v>213</v>
      </c>
      <c r="B1" s="4" t="s">
        <v>20</v>
      </c>
      <c r="C1" s="4" t="s">
        <v>214</v>
      </c>
      <c r="D1" s="4" t="s">
        <v>215</v>
      </c>
      <c r="E1" s="4" t="s">
        <v>216</v>
      </c>
    </row>
    <row r="2" spans="1:5" ht="54" customHeight="1" x14ac:dyDescent="0.3">
      <c r="A2" s="2" t="s">
        <v>217</v>
      </c>
      <c r="B2" s="2" t="s">
        <v>218</v>
      </c>
      <c r="C2" s="2" t="s">
        <v>219</v>
      </c>
      <c r="D2" s="2" t="s">
        <v>220</v>
      </c>
      <c r="E2" s="2" t="s">
        <v>221</v>
      </c>
    </row>
    <row r="3" spans="1:5" ht="54" customHeight="1" x14ac:dyDescent="0.3">
      <c r="A3" s="2" t="s">
        <v>222</v>
      </c>
      <c r="B3" s="2" t="s">
        <v>223</v>
      </c>
      <c r="C3" s="2" t="s">
        <v>224</v>
      </c>
      <c r="D3" s="2" t="s">
        <v>225</v>
      </c>
      <c r="E3" s="2" t="s">
        <v>226</v>
      </c>
    </row>
    <row r="4" spans="1:5" ht="54" customHeight="1" x14ac:dyDescent="0.3">
      <c r="A4" s="2" t="s">
        <v>227</v>
      </c>
      <c r="B4" s="2" t="s">
        <v>65</v>
      </c>
      <c r="C4" s="2" t="s">
        <v>228</v>
      </c>
      <c r="D4" s="2" t="s">
        <v>229</v>
      </c>
      <c r="E4" s="2" t="s">
        <v>230</v>
      </c>
    </row>
    <row r="5" spans="1:5" ht="54" customHeight="1" x14ac:dyDescent="0.3">
      <c r="A5" s="2" t="s">
        <v>231</v>
      </c>
      <c r="B5" s="2" t="s">
        <v>232</v>
      </c>
      <c r="C5" s="2" t="s">
        <v>233</v>
      </c>
      <c r="D5" s="2" t="s">
        <v>225</v>
      </c>
      <c r="E5" s="2" t="s">
        <v>234</v>
      </c>
    </row>
    <row r="6" spans="1:5" ht="54" customHeight="1" x14ac:dyDescent="0.3">
      <c r="A6" s="2" t="s">
        <v>235</v>
      </c>
      <c r="B6" s="2" t="s">
        <v>236</v>
      </c>
      <c r="C6" s="2" t="s">
        <v>237</v>
      </c>
      <c r="D6" s="2" t="s">
        <v>238</v>
      </c>
      <c r="E6" s="2" t="s">
        <v>239</v>
      </c>
    </row>
    <row r="7" spans="1:5" ht="54" customHeight="1" x14ac:dyDescent="0.3">
      <c r="A7" s="2" t="s">
        <v>240</v>
      </c>
      <c r="B7" s="2" t="s">
        <v>241</v>
      </c>
      <c r="C7" s="2" t="s">
        <v>242</v>
      </c>
      <c r="D7" s="2" t="s">
        <v>243</v>
      </c>
      <c r="E7" s="2" t="s">
        <v>244</v>
      </c>
    </row>
    <row r="8" spans="1:5" ht="54" customHeight="1" x14ac:dyDescent="0.3">
      <c r="A8" s="2" t="s">
        <v>245</v>
      </c>
      <c r="B8" s="2" t="s">
        <v>246</v>
      </c>
      <c r="C8" s="2" t="s">
        <v>247</v>
      </c>
      <c r="D8" s="2" t="s">
        <v>248</v>
      </c>
      <c r="E8" s="2" t="s">
        <v>249</v>
      </c>
    </row>
    <row r="9" spans="1:5" ht="54" customHeight="1" x14ac:dyDescent="0.3">
      <c r="A9" s="2" t="s">
        <v>250</v>
      </c>
      <c r="B9" s="2" t="s">
        <v>121</v>
      </c>
      <c r="C9" s="2" t="s">
        <v>251</v>
      </c>
      <c r="D9" s="2" t="s">
        <v>252</v>
      </c>
      <c r="E9" s="2" t="s">
        <v>253</v>
      </c>
    </row>
  </sheetData>
  <autoFilter ref="A1:E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Risk Register</vt:lpstr>
      <vt:lpstr>Scoring Guide</vt:lpstr>
      <vt:lpstr>Asset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Website Cybersecurity Risk Register</dc:title>
  <dc:subject>Cybersecurity internship project deliverable</dc:subject>
  <dc:creator>Cybersecurity Intern</dc:creator>
  <dc:description>Illustrative risk register for ABC Online Services; not verified findings about a live system.</dc:description>
  <cp:lastModifiedBy>Dany Geo Johnson</cp:lastModifiedBy>
  <dcterms:created xsi:type="dcterms:W3CDTF">2026-10-13T11:27:06Z</dcterms:created>
  <dcterms:modified xsi:type="dcterms:W3CDTF">2026-10-21T10:36:03Z</dcterms:modified>
</cp:coreProperties>
</file>